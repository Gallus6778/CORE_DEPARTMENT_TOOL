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Tool" sheetId="1" r:id="rId1"/>
    <sheet name="Data" sheetId="2" r:id="rId2"/>
    <sheet name="Script" sheetId="3" r:id="rId3"/>
  </sheets>
  <calcPr calcId="152511"/>
</workbook>
</file>

<file path=xl/calcChain.xml><?xml version="1.0" encoding="utf-8"?>
<calcChain xmlns="http://schemas.openxmlformats.org/spreadsheetml/2006/main">
  <c r="A12" i="1" l="1"/>
  <c r="D7" i="1"/>
  <c r="A35" i="1"/>
  <c r="A34" i="1"/>
  <c r="A33" i="1"/>
  <c r="A32" i="1"/>
  <c r="A31" i="1"/>
  <c r="A30" i="1"/>
  <c r="A29" i="1"/>
  <c r="A28" i="1"/>
  <c r="E4" i="1" l="1"/>
  <c r="I10" i="1" l="1"/>
  <c r="H10" i="1"/>
  <c r="G10" i="1"/>
  <c r="F10" i="1"/>
  <c r="E10" i="1"/>
  <c r="D10" i="1"/>
  <c r="C10" i="1"/>
  <c r="B10" i="1"/>
  <c r="B4" i="1"/>
  <c r="K7" i="1"/>
  <c r="J7" i="1"/>
  <c r="I7" i="1"/>
  <c r="H7" i="1"/>
  <c r="G7" i="1"/>
  <c r="F7" i="1"/>
  <c r="E7" i="1"/>
  <c r="C7" i="1"/>
  <c r="B7" i="1"/>
  <c r="A2" i="1"/>
  <c r="A14" i="1" l="1"/>
  <c r="A38" i="1"/>
  <c r="A37" i="1"/>
  <c r="A36" i="1"/>
  <c r="A25" i="1"/>
  <c r="A24" i="1"/>
  <c r="A23" i="1" l="1"/>
  <c r="A22" i="1"/>
  <c r="A21" i="1"/>
  <c r="A20" i="1"/>
  <c r="A19" i="1"/>
  <c r="A18" i="1"/>
  <c r="A17" i="1"/>
  <c r="A16" i="1"/>
  <c r="A10" i="1"/>
  <c r="A15" i="1" l="1"/>
  <c r="A27" i="1"/>
  <c r="A26" i="1"/>
</calcChain>
</file>

<file path=xl/sharedStrings.xml><?xml version="1.0" encoding="utf-8"?>
<sst xmlns="http://schemas.openxmlformats.org/spreadsheetml/2006/main" count="85" uniqueCount="57">
  <si>
    <t>CELL NAME</t>
  </si>
  <si>
    <t>TRX NAME</t>
  </si>
  <si>
    <t>FREQ</t>
  </si>
  <si>
    <t>Hop Index</t>
  </si>
  <si>
    <t>HSN</t>
  </si>
  <si>
    <t>TSC</t>
  </si>
  <si>
    <t>Frequency 1</t>
  </si>
  <si>
    <t>Frequency 2</t>
  </si>
  <si>
    <t>Frequency 3</t>
  </si>
  <si>
    <t>Frequency 4</t>
  </si>
  <si>
    <t>Frequency 5</t>
  </si>
  <si>
    <t>Frequency 6</t>
  </si>
  <si>
    <t>Frequency 7</t>
  </si>
  <si>
    <t>Frequency 8</t>
  </si>
  <si>
    <t>TRX_NAME</t>
  </si>
  <si>
    <t>channel0Type</t>
  </si>
  <si>
    <t>channel1Type</t>
  </si>
  <si>
    <t>channel2Type</t>
  </si>
  <si>
    <t>channel3Type</t>
  </si>
  <si>
    <t>channel4Type</t>
  </si>
  <si>
    <t>channel5Type</t>
  </si>
  <si>
    <t>channel6Type</t>
  </si>
  <si>
    <t>channel7Type</t>
  </si>
  <si>
    <t>SDCCH8</t>
  </si>
  <si>
    <t>TCH Full Rate</t>
  </si>
  <si>
    <t>Freq_To_Add</t>
  </si>
  <si>
    <t>***************End_Script OU00552_7***************</t>
  </si>
  <si>
    <t>Par METANMO LEKANE ULRICH</t>
  </si>
  <si>
    <t>Information: Saissisez le nom du TRX dans la cellule A4, puis cliquez sur le bouton Run the Script</t>
  </si>
  <si>
    <t>LI01692</t>
  </si>
  <si>
    <t>LI01692_2</t>
  </si>
  <si>
    <t>***************Script LI01692_2***************</t>
  </si>
  <si>
    <t>ADD GCELLFREQ:IDTYPE=BYNAME,CELLNAME="LI01692",FREQ1=82;</t>
  </si>
  <si>
    <t>ADD GTRX:IDTYPE=BYNAME,CELLNAME="LI01692",TRXNAME="LI01692_2",FREQ=82;</t>
  </si>
  <si>
    <t>SET GTRXCHAN:IDTYPE=BYNAME,TRXNAME="LI01692_2",CHNO=0,CHTYPE=SDCCH8;</t>
  </si>
  <si>
    <t>SET GTRXCHAN:IDTYPE=BYNAME,TRXNAME="LI01692_2",CHNO=1,CHTYPE=TCH Full Rate;</t>
  </si>
  <si>
    <t>SET GTRXCHAN:IDTYPE=BYNAME,TRXNAME="LI01692_2",CHNO=2,CHTYPE=TCH Full Rate;</t>
  </si>
  <si>
    <t>SET GTRXCHAN:IDTYPE=BYNAME,TRXNAME="LI01692_2",CHNO=3,CHTYPE=TCH Full Rate;</t>
  </si>
  <si>
    <t>SET GTRXCHAN:IDTYPE=BYNAME,TRXNAME="LI01692_2",CHNO=4,CHTYPE=TCH Full Rate;</t>
  </si>
  <si>
    <t>SET GTRXCHAN:IDTYPE=BYNAME,TRXNAME="LI01692_2",CHNO=5,CHTYPE=TCH Full Rate;</t>
  </si>
  <si>
    <t>SET GTRXCHAN:IDTYPE=BYNAME,TRXNAME="LI01692_2",CHNO=6,CHTYPE=TCH Full Rate;</t>
  </si>
  <si>
    <t>SET GTRXCHAN:IDTYPE=BYNAME,TRXNAME="LI01692_2",CHNO=7,CHTYPE=TCH Full Rate;</t>
  </si>
  <si>
    <t>ADD TRXBIND2PHYBRD: TRXIDTYPE=BYNAME, TRXNAME="LI01692_2", IDTYPE=BYNAME, BTSNAME="LI0169", TRXTP=MRRU, TRXPN=1, RXUIDTYPE=SRNSN, CN=0, SRN=61, SN=0, ANTPASSNO=A;</t>
  </si>
  <si>
    <t>DEA GCELL:IDTYPE=BYNAME,CELLNAME="LI01692";</t>
  </si>
  <si>
    <t>MOD GCELLMAGRP:IDTYPE=BYNAME,CELLNAME="LI01692",HOPINDEX=0,HSN=61,TSC=0,HOPMODE=BaseBand_FH,FREQ1=68,FREQ2=82;</t>
  </si>
  <si>
    <t>MOD GCELLMAGRP:IDTYPE=BYNAME,CELLNAME="LI01692",HOPINDEX=1,HSN=61,TSC=0,HOPMODE=BaseBand_FH,FREQ1=74,FREQ2=68,FREQ3=82;</t>
  </si>
  <si>
    <t>SET GTRXCHANHOP:IDTYPE=BYNAME,TRXNAME="LI01692_2",CHNO=0,TRXHOPINDEX=0,TRXMAIO=0;</t>
  </si>
  <si>
    <t>SET GTRXCHANHOP:IDTYPE=BYNAME,TRXNAME="LI01692_2",CHNO=1,TRXHOPINDEX=1,TRXMAIO=1;</t>
  </si>
  <si>
    <t>SET GTRXCHANHOP:IDTYPE=BYNAME,TRXNAME="LI01692_2",CHNO=2,TRXHOPINDEX=1,TRXMAIO=1;</t>
  </si>
  <si>
    <t>SET GTRXCHANHOP:IDTYPE=BYNAME,TRXNAME="LI01692_2",CHNO=3,TRXHOPINDEX=1,TRXMAIO=1;</t>
  </si>
  <si>
    <t>SET GTRXCHANHOP:IDTYPE=BYNAME,TRXNAME="LI01692_2",CHNO=4,TRXHOPINDEX=1,TRXMAIO=1;</t>
  </si>
  <si>
    <t>SET GTRXCHANHOP:IDTYPE=BYNAME,TRXNAME="LI01692_2",CHNO=5,TRXHOPINDEX=1,TRXMAIO=1;</t>
  </si>
  <si>
    <t>SET GTRXCHANHOP:IDTYPE=BYNAME,TRXNAME="LI01692_2",CHNO=6,TRXHOPINDEX=1,TRXMAIO=1;</t>
  </si>
  <si>
    <t>SET GTRXCHANHOP:IDTYPE=BYNAME,TRXNAME="LI01692_2",CHNO=7,TRXHOPINDEX=1,TRXMAIO=1;</t>
  </si>
  <si>
    <t>SET GTRXHOP:IDTYPE=BYNAME,TRXNAME="LI01692_2",HOPTYPE=BaseBand_FH;</t>
  </si>
  <si>
    <t>SET GTRXDEV:IDTYPE=BYNAME,TRXNAME="LI01692_2",TCHAJFLAG=YES;</t>
  </si>
  <si>
    <t>ACT GCELL:IDTYPE=BYNAME,CELLNAME="LI01692",TRXIDTYPE=BYID;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</si>
</sst>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1"/>
      <color rgb="FF000000"/>
      <name val="Cambria"/>
      <family val="1"/>
    </font>
    <font>
      <sz val="11"/>
      <name val="Cambria"/>
      <family val="1"/>
    </font>
    <font>
      <sz val="11"/>
      <color rgb="FF000000"/>
      <name val="Cambria"/>
      <family val="1"/>
    </font>
    <font>
      <sz val="9"/>
      <name val="Cambria"/>
      <family val="1"/>
    </font>
    <font>
      <sz val="9"/>
      <color theme="1"/>
      <name val="Cambria"/>
      <family val="1"/>
    </font>
    <font>
      <sz val="11"/>
      <color theme="1"/>
      <name val="Cambria"/>
      <family val="1"/>
      <scheme val="major"/>
    </font>
    <font>
      <b/>
      <sz val="11"/>
      <color rgb="FF000000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1"/>
      <name val="Cambria"/>
      <family val="1"/>
    </font>
    <font>
      <b/>
      <sz val="11"/>
      <color theme="1"/>
      <name val="Cambria"/>
      <family val="1"/>
    </font>
    <font>
      <b/>
      <sz val="20"/>
      <color theme="9" tint="-0.499984740745262"/>
      <name val="Algerian"/>
      <family val="5"/>
    </font>
    <font>
      <sz val="11"/>
      <color theme="0"/>
      <name val="Cambria"/>
      <family val="1"/>
      <scheme val="major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10" borderId="0" xfId="0" applyFill="1"/>
    <xf numFmtId="0" fontId="0" fillId="9" borderId="0" xfId="0" applyFill="1"/>
    <xf numFmtId="0" fontId="0" fillId="11" borderId="0" xfId="0" applyFill="1"/>
    <xf numFmtId="0" fontId="0" fillId="6" borderId="0" xfId="0" applyFill="1"/>
    <xf numFmtId="0" fontId="7" fillId="2" borderId="1" xfId="0" applyFont="1" applyFill="1" applyBorder="1"/>
    <xf numFmtId="49" fontId="7" fillId="5" borderId="1" xfId="0" applyNumberFormat="1" applyFont="1" applyFill="1" applyBorder="1"/>
    <xf numFmtId="0" fontId="8" fillId="5" borderId="1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/>
    <xf numFmtId="0" fontId="9" fillId="0" borderId="1" xfId="0" applyFont="1" applyBorder="1" applyAlignment="1">
      <alignment horizontal="center"/>
    </xf>
    <xf numFmtId="0" fontId="6" fillId="8" borderId="0" xfId="0" applyFont="1" applyFill="1" applyBorder="1"/>
    <xf numFmtId="0" fontId="0" fillId="8" borderId="0" xfId="0" applyFill="1" applyBorder="1"/>
    <xf numFmtId="0" fontId="0" fillId="0" borderId="0" xfId="0" applyBorder="1"/>
    <xf numFmtId="0" fontId="0" fillId="0" borderId="3" xfId="0" applyBorder="1"/>
    <xf numFmtId="0" fontId="10" fillId="8" borderId="4" xfId="0" applyFont="1" applyFill="1" applyBorder="1" applyAlignment="1">
      <alignment horizontal="left"/>
    </xf>
    <xf numFmtId="0" fontId="2" fillId="5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0" borderId="8" xfId="0" applyFont="1" applyBorder="1" applyAlignment="1"/>
    <xf numFmtId="0" fontId="2" fillId="5" borderId="9" xfId="0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1" fillId="0" borderId="16" xfId="0" applyFont="1" applyBorder="1"/>
    <xf numFmtId="0" fontId="0" fillId="0" borderId="22" xfId="0" applyBorder="1"/>
    <xf numFmtId="0" fontId="5" fillId="8" borderId="14" xfId="0" applyFont="1" applyFill="1" applyBorder="1" applyAlignment="1">
      <alignment horizontal="left"/>
    </xf>
    <xf numFmtId="0" fontId="6" fillId="6" borderId="21" xfId="0" applyFont="1" applyFill="1" applyBorder="1"/>
    <xf numFmtId="0" fontId="0" fillId="6" borderId="25" xfId="0" applyFill="1" applyBorder="1"/>
    <xf numFmtId="0" fontId="0" fillId="6" borderId="23" xfId="0" applyFill="1" applyBorder="1"/>
    <xf numFmtId="0" fontId="6" fillId="6" borderId="20" xfId="0" applyFont="1" applyFill="1" applyBorder="1"/>
    <xf numFmtId="0" fontId="0" fillId="6" borderId="0" xfId="0" applyFill="1" applyBorder="1"/>
    <xf numFmtId="0" fontId="0" fillId="6" borderId="15" xfId="0" applyFill="1" applyBorder="1"/>
    <xf numFmtId="0" fontId="6" fillId="6" borderId="19" xfId="0" applyFont="1" applyFill="1" applyBorder="1"/>
    <xf numFmtId="0" fontId="0" fillId="6" borderId="14" xfId="0" applyFill="1" applyBorder="1"/>
    <xf numFmtId="0" fontId="0" fillId="6" borderId="24" xfId="0" applyFill="1" applyBorder="1"/>
    <xf numFmtId="0" fontId="0" fillId="11" borderId="26" xfId="0" applyFill="1" applyBorder="1"/>
    <xf numFmtId="0" fontId="0" fillId="11" borderId="27" xfId="0" applyFill="1" applyBorder="1"/>
    <xf numFmtId="0" fontId="6" fillId="11" borderId="16" xfId="0" applyFont="1" applyFill="1" applyBorder="1" applyAlignment="1">
      <alignment horizontal="left"/>
    </xf>
    <xf numFmtId="0" fontId="6" fillId="10" borderId="4" xfId="0" applyFont="1" applyFill="1" applyBorder="1" applyAlignment="1"/>
    <xf numFmtId="0" fontId="6" fillId="9" borderId="21" xfId="0" applyFont="1" applyFill="1" applyBorder="1"/>
    <xf numFmtId="0" fontId="0" fillId="9" borderId="25" xfId="0" applyFill="1" applyBorder="1"/>
    <xf numFmtId="0" fontId="0" fillId="9" borderId="23" xfId="0" applyFill="1" applyBorder="1"/>
    <xf numFmtId="0" fontId="6" fillId="9" borderId="19" xfId="0" applyFont="1" applyFill="1" applyBorder="1"/>
    <xf numFmtId="0" fontId="0" fillId="9" borderId="14" xfId="0" applyFill="1" applyBorder="1"/>
    <xf numFmtId="0" fontId="0" fillId="9" borderId="24" xfId="0" applyFill="1" applyBorder="1"/>
    <xf numFmtId="0" fontId="0" fillId="10" borderId="27" xfId="0" applyFill="1" applyBorder="1"/>
    <xf numFmtId="0" fontId="6" fillId="10" borderId="18" xfId="0" applyFont="1" applyFill="1" applyBorder="1"/>
    <xf numFmtId="0" fontId="0" fillId="10" borderId="26" xfId="0" applyFill="1" applyBorder="1"/>
    <xf numFmtId="0" fontId="0" fillId="11" borderId="16" xfId="0" applyFill="1" applyBorder="1"/>
    <xf numFmtId="0" fontId="4" fillId="7" borderId="28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 wrapText="1"/>
    </xf>
    <xf numFmtId="0" fontId="0" fillId="0" borderId="29" xfId="0" applyBorder="1"/>
    <xf numFmtId="0" fontId="11" fillId="0" borderId="10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49" fontId="11" fillId="4" borderId="11" xfId="0" applyNumberFormat="1" applyFont="1" applyFill="1" applyBorder="1" applyAlignment="1">
      <alignment horizontal="center"/>
    </xf>
    <xf numFmtId="49" fontId="11" fillId="4" borderId="13" xfId="0" applyNumberFormat="1" applyFont="1" applyFill="1" applyBorder="1" applyAlignment="1">
      <alignment horizontal="center"/>
    </xf>
    <xf numFmtId="0" fontId="11" fillId="0" borderId="16" xfId="0" applyFont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2" borderId="16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6" fillId="14" borderId="2" xfId="0" applyFont="1" applyFill="1" applyBorder="1"/>
    <xf numFmtId="0" fontId="0" fillId="14" borderId="0" xfId="0" applyFill="1"/>
    <xf numFmtId="0" fontId="0" fillId="14" borderId="25" xfId="0" applyFill="1" applyBorder="1"/>
    <xf numFmtId="0" fontId="0" fillId="14" borderId="23" xfId="0" applyFill="1" applyBorder="1"/>
    <xf numFmtId="0" fontId="6" fillId="14" borderId="17" xfId="0" applyFont="1" applyFill="1" applyBorder="1"/>
    <xf numFmtId="0" fontId="0" fillId="14" borderId="14" xfId="0" applyFill="1" applyBorder="1"/>
    <xf numFmtId="0" fontId="0" fillId="14" borderId="24" xfId="0" applyFill="1" applyBorder="1"/>
    <xf numFmtId="0" fontId="14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5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647700</xdr:colOff>
      <xdr:row>4</xdr:row>
      <xdr:rowOff>104775</xdr:rowOff>
    </xdr:to>
    <xdr:sp macro="[0]!Rectangle2_Cliquer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953125" y="381000"/>
          <a:ext cx="1676400" cy="485775"/>
        </a:xfrm>
        <a:prstGeom prst="rect">
          <a:avLst/>
        </a:prstGeom>
        <a:solidFill>
          <a:schemeClr val="accent3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Book Antiqua" panose="02040602050305030304" pitchFamily="18" charset="0"/>
            </a:rPr>
            <a:t>Générez</a:t>
          </a:r>
          <a:r>
            <a:rPr lang="en-US" sz="1100" baseline="0">
              <a:latin typeface="Book Antiqua" panose="02040602050305030304" pitchFamily="18" charset="0"/>
            </a:rPr>
            <a:t> les Scripts</a:t>
          </a:r>
          <a:endParaRPr lang="en-US" sz="1100">
            <a:latin typeface="Book Antiqua" panose="0204060205030503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O40"/>
  <sheetViews>
    <sheetView tabSelected="1" workbookViewId="0">
      <selection activeCell="I11" sqref="I11"/>
    </sheetView>
  </sheetViews>
  <sheetFormatPr baseColWidth="10" defaultColWidth="9.140625" defaultRowHeight="15" x14ac:dyDescent="0.25"/>
  <cols>
    <col min="1" max="1" width="12.140625" bestFit="1" customWidth="1"/>
    <col min="2" max="9" width="15.42578125" bestFit="1" customWidth="1"/>
    <col min="10" max="11" width="13.42578125" bestFit="1" customWidth="1"/>
  </cols>
  <sheetData>
    <row r="1" spans="1:93" ht="16.5" customHeight="1" thickTop="1" thickBot="1" x14ac:dyDescent="0.3">
      <c r="A1" s="62" t="s">
        <v>0</v>
      </c>
      <c r="C1" s="73" t="s">
        <v>27</v>
      </c>
      <c r="D1" s="73"/>
      <c r="E1" s="73"/>
      <c r="F1" s="73"/>
      <c r="G1" s="74" t="s">
        <v>28</v>
      </c>
      <c r="H1" s="74"/>
      <c r="I1" s="74"/>
      <c r="J1" s="74"/>
      <c r="K1" s="74"/>
      <c r="L1" s="74"/>
      <c r="M1" s="74"/>
    </row>
    <row r="2" spans="1:93" ht="16.5" customHeight="1" thickTop="1" thickBot="1" x14ac:dyDescent="0.3">
      <c r="A2" s="59" t="str">
        <f>LEFT(A4,7)</f>
        <v>LI01692</v>
      </c>
      <c r="B2" s="26"/>
      <c r="C2" s="73"/>
      <c r="D2" s="73"/>
      <c r="E2" s="73"/>
      <c r="F2" s="73"/>
      <c r="G2" s="74"/>
      <c r="H2" s="74"/>
      <c r="I2" s="74"/>
      <c r="J2" s="74"/>
      <c r="K2" s="74"/>
      <c r="L2" s="74"/>
      <c r="M2" s="74"/>
    </row>
    <row r="3" spans="1:93" ht="16.5" thickTop="1" thickBot="1" x14ac:dyDescent="0.3">
      <c r="A3" s="63" t="s">
        <v>1</v>
      </c>
      <c r="B3" s="60" t="s">
        <v>2</v>
      </c>
      <c r="E3" s="23"/>
    </row>
    <row r="4" spans="1:93" ht="16.5" thickTop="1" thickBot="1" x14ac:dyDescent="0.3">
      <c r="A4" s="64" t="s">
        <v>30</v>
      </c>
      <c r="B4" s="61">
        <f>VLOOKUP(A4,Data!$B:$C,2,0)</f>
        <v>82</v>
      </c>
      <c r="D4" s="24"/>
      <c r="E4" s="25">
        <f>COUNTA(Data!$B$2:$B$49926)</f>
        <v>1</v>
      </c>
    </row>
    <row r="5" spans="1:93" ht="16.5" thickTop="1" thickBot="1" x14ac:dyDescent="0.3"/>
    <row r="6" spans="1:93" ht="15.75" thickBot="1" x14ac:dyDescent="0.3">
      <c r="A6" s="57" t="s">
        <v>3</v>
      </c>
      <c r="B6" s="57" t="s">
        <v>4</v>
      </c>
      <c r="C6" s="57" t="s">
        <v>5</v>
      </c>
      <c r="D6" s="57" t="s">
        <v>6</v>
      </c>
      <c r="E6" s="57" t="s">
        <v>7</v>
      </c>
      <c r="F6" s="57" t="s">
        <v>8</v>
      </c>
      <c r="G6" s="57" t="s">
        <v>9</v>
      </c>
      <c r="H6" s="57" t="s">
        <v>10</v>
      </c>
      <c r="I6" s="57" t="s">
        <v>11</v>
      </c>
      <c r="J6" s="57" t="s">
        <v>12</v>
      </c>
      <c r="K6" s="58" t="s">
        <v>13</v>
      </c>
    </row>
    <row r="7" spans="1:93" ht="16.5" thickTop="1" thickBot="1" x14ac:dyDescent="0.3">
      <c r="A7" s="54">
        <v>1</v>
      </c>
      <c r="B7" s="54">
        <f>VLOOKUP(A4,Data!$B:$D,3,0)</f>
        <v>61</v>
      </c>
      <c r="C7" s="54">
        <f>VLOOKUP(A4,Data!$B:$E,4,0)</f>
        <v>0</v>
      </c>
      <c r="D7" s="55">
        <f>IF((VLOOKUP(A4,Data!$B:$F,5,0)=0),"",VLOOKUP(A4,Data!$B:$F,5,0))</f>
        <v>74</v>
      </c>
      <c r="E7" s="55">
        <f>IF((VLOOKUP(A4,Data!$B:$G,6,0)=0),"",VLOOKUP(A4,Data!$B:$G,6,0))</f>
        <v>68</v>
      </c>
      <c r="F7" s="54">
        <f>IF((VLOOKUP(A4,Data!$B:$H,7,0)=0),"",VLOOKUP(A4,Data!$B:$H,7,0))</f>
        <v>82</v>
      </c>
      <c r="G7" s="55" t="str">
        <f>IF((VLOOKUP(A4,Data!$B:$I,8,0)=0),"",VLOOKUP(A4,Data!$B:$I,8,0))</f>
        <v/>
      </c>
      <c r="H7" s="54" t="str">
        <f>IF((VLOOKUP(A4,Data!$B:$J,9,0)=0),"",VLOOKUP(A4,Data!$B:$J,9,0))</f>
        <v/>
      </c>
      <c r="I7" s="54" t="str">
        <f>IF((VLOOKUP(A4,Data!$B:$K,10,0)=0),"",VLOOKUP(A4,Data!$B:$K,10,0))</f>
        <v/>
      </c>
      <c r="J7" s="54" t="str">
        <f>IF((VLOOKUP(A4,Data!$B:$L,11,0)=0),"",VLOOKUP(A4,Data!$B:$L,11,0))</f>
        <v/>
      </c>
      <c r="K7" s="56" t="str">
        <f>IF((VLOOKUP(A4,Data!$B:$M,12,0)=0),"",VLOOKUP(A4,Data!$B:$M,12,0))</f>
        <v/>
      </c>
    </row>
    <row r="8" spans="1:93" ht="15.75" thickBot="1" x14ac:dyDescent="0.3"/>
    <row r="9" spans="1:93" ht="24" customHeight="1" thickBot="1" x14ac:dyDescent="0.3">
      <c r="A9" s="22" t="s">
        <v>14</v>
      </c>
      <c r="B9" s="18" t="s">
        <v>15</v>
      </c>
      <c r="C9" s="18" t="s">
        <v>16</v>
      </c>
      <c r="D9" s="18" t="s">
        <v>17</v>
      </c>
      <c r="E9" s="18" t="s">
        <v>18</v>
      </c>
      <c r="F9" s="18" t="s">
        <v>19</v>
      </c>
      <c r="G9" s="18" t="s">
        <v>20</v>
      </c>
      <c r="H9" s="18" t="s">
        <v>21</v>
      </c>
      <c r="I9" s="52" t="s">
        <v>22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</row>
    <row r="10" spans="1:93" ht="16.5" thickTop="1" thickBot="1" x14ac:dyDescent="0.3">
      <c r="A10" s="21" t="str">
        <f>A4</f>
        <v>LI01692_2</v>
      </c>
      <c r="B10" s="20" t="str">
        <f>VLOOKUP(A4,Data!$B:$N,13,FALSE)</f>
        <v>SDCCH8</v>
      </c>
      <c r="C10" s="19" t="str">
        <f>VLOOKUP(A4,Data!$B:$O,14,FALSE)</f>
        <v>TCH Full Rate</v>
      </c>
      <c r="D10" s="19" t="str">
        <f>VLOOKUP(A4,Data!$B:$P,15,FALSE)</f>
        <v>TCH Full Rate</v>
      </c>
      <c r="E10" s="19" t="str">
        <f>VLOOKUP(A4,Data!$B:$Q,16,FALSE)</f>
        <v>TCH Full Rate</v>
      </c>
      <c r="F10" s="19" t="str">
        <f>VLOOKUP(A4,Data!$B:$R,17,FALSE)</f>
        <v>TCH Full Rate</v>
      </c>
      <c r="G10" s="19" t="str">
        <f>VLOOKUP(A4,Data!$B:$S,18,FALSE)</f>
        <v>TCH Full Rate</v>
      </c>
      <c r="H10" s="19" t="str">
        <f>VLOOKUP(A4,Data!$B:$T,19,FALSE)</f>
        <v>TCH Full Rate</v>
      </c>
      <c r="I10" s="51" t="str">
        <f>VLOOKUP(A4,Data!$B:$U,20,FALSE)</f>
        <v>TCH Full Rate</v>
      </c>
      <c r="J10" s="53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</row>
    <row r="11" spans="1:93" s="16" customForma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</row>
    <row r="12" spans="1:93" x14ac:dyDescent="0.25">
      <c r="A12" s="17" t="str">
        <f>"***************Script "&amp;A4&amp;"***************"</f>
        <v>***************Script LI01692_2***************</v>
      </c>
    </row>
    <row r="13" spans="1:93" s="15" customFormat="1" ht="15.75" thickBot="1" x14ac:dyDescent="0.3">
      <c r="A13" s="27"/>
      <c r="B13" s="23"/>
      <c r="C13" s="23"/>
      <c r="D13" s="23"/>
      <c r="E13" s="23"/>
      <c r="F13" s="23"/>
      <c r="G13" s="23"/>
      <c r="H13" s="23"/>
      <c r="I13" s="23"/>
      <c r="J13" s="23"/>
    </row>
    <row r="14" spans="1:93" s="66" customFormat="1" ht="15.75" thickTop="1" x14ac:dyDescent="0.25">
      <c r="A14" s="65" t="str">
        <f>"ADD GCELLFREQ:IDTYPE=BYNAME,CELLNAME="""&amp;A2&amp;""",FREQ1="&amp;B4&amp;";"</f>
        <v>ADD GCELLFREQ:IDTYPE=BYNAME,CELLNAME="LI01692",FREQ1=82;</v>
      </c>
      <c r="J14" s="67"/>
      <c r="K14" s="68"/>
    </row>
    <row r="15" spans="1:93" s="66" customFormat="1" ht="15.75" thickBot="1" x14ac:dyDescent="0.3">
      <c r="A15" s="69" t="str">
        <f>"ADD GTRX:IDTYPE=BYNAME,CELLNAME="""&amp;A2&amp;""",TRXNAME="""&amp;A4&amp;""",FREQ="&amp;B4&amp;";"</f>
        <v>ADD GTRX:IDTYPE=BYNAME,CELLNAME="LI01692",TRXNAME="LI01692_2",FREQ=82;</v>
      </c>
      <c r="B15" s="70"/>
      <c r="C15" s="70"/>
      <c r="D15" s="70"/>
      <c r="E15" s="70"/>
      <c r="F15" s="70"/>
      <c r="G15" s="70"/>
      <c r="H15" s="70"/>
      <c r="I15" s="70"/>
      <c r="J15" s="70"/>
      <c r="K15" s="71"/>
    </row>
    <row r="16" spans="1:93" s="4" customFormat="1" ht="15.75" thickTop="1" x14ac:dyDescent="0.25">
      <c r="A16" s="28" t="str">
        <f>"SET GTRXCHAN:IDTYPE=BYNAME,TRXNAME="""&amp;A4&amp;""",CHNO=0,CHTYPE="&amp;B10&amp;";"</f>
        <v>SET GTRXCHAN:IDTYPE=BYNAME,TRXNAME="LI01692_2",CHNO=0,CHTYPE=SDCCH8;</v>
      </c>
      <c r="B16" s="29"/>
      <c r="C16" s="29"/>
      <c r="D16" s="29"/>
      <c r="E16" s="29"/>
      <c r="F16" s="29"/>
      <c r="G16" s="29"/>
      <c r="H16" s="29"/>
      <c r="I16" s="29"/>
      <c r="J16" s="29"/>
      <c r="K16" s="33"/>
    </row>
    <row r="17" spans="1:11" s="4" customFormat="1" x14ac:dyDescent="0.25">
      <c r="A17" s="31" t="str">
        <f>"SET GTRXCHAN:IDTYPE=BYNAME,TRXNAME="""&amp;A4&amp;""",CHNO=1,CHTYPE="&amp;C10&amp;";"</f>
        <v>SET GTRXCHAN:IDTYPE=BYNAME,TRXNAME="LI01692_2",CHNO=1,CHTYPE=TCH Full Rate;</v>
      </c>
      <c r="B17" s="32"/>
      <c r="C17" s="32"/>
      <c r="D17" s="32"/>
      <c r="E17" s="32"/>
      <c r="F17" s="32"/>
      <c r="G17" s="32"/>
      <c r="H17" s="32"/>
      <c r="I17" s="32"/>
      <c r="J17" s="32"/>
      <c r="K17" s="33"/>
    </row>
    <row r="18" spans="1:11" s="4" customFormat="1" x14ac:dyDescent="0.25">
      <c r="A18" s="31" t="str">
        <f>"SET GTRXCHAN:IDTYPE=BYNAME,TRXNAME="""&amp;A4&amp;""",CHNO=2,CHTYPE="&amp;D10&amp;";"</f>
        <v>SET GTRXCHAN:IDTYPE=BYNAME,TRXNAME="LI01692_2",CHNO=2,CHTYPE=TCH Full Rate;</v>
      </c>
      <c r="B18" s="32"/>
      <c r="C18" s="32"/>
      <c r="D18" s="32"/>
      <c r="E18" s="32"/>
      <c r="F18" s="32"/>
      <c r="G18" s="32"/>
      <c r="H18" s="32"/>
      <c r="I18" s="32"/>
      <c r="J18" s="32"/>
      <c r="K18" s="33"/>
    </row>
    <row r="19" spans="1:11" s="4" customFormat="1" x14ac:dyDescent="0.25">
      <c r="A19" s="31" t="str">
        <f>"SET GTRXCHAN:IDTYPE=BYNAME,TRXNAME="""&amp;A4&amp;""",CHNO=3,CHTYPE="&amp;E10&amp;";"</f>
        <v>SET GTRXCHAN:IDTYPE=BYNAME,TRXNAME="LI01692_2",CHNO=3,CHTYPE=TCH Full Rate;</v>
      </c>
      <c r="B19" s="32"/>
      <c r="C19" s="32"/>
      <c r="D19" s="32"/>
      <c r="E19" s="32"/>
      <c r="F19" s="32"/>
      <c r="G19" s="32"/>
      <c r="H19" s="32"/>
      <c r="I19" s="32"/>
      <c r="J19" s="32"/>
      <c r="K19" s="33"/>
    </row>
    <row r="20" spans="1:11" s="4" customFormat="1" x14ac:dyDescent="0.25">
      <c r="A20" s="31" t="str">
        <f>"SET GTRXCHAN:IDTYPE=BYNAME,TRXNAME="""&amp;A4&amp;""",CHNO=4,CHTYPE="&amp;F10&amp;";"</f>
        <v>SET GTRXCHAN:IDTYPE=BYNAME,TRXNAME="LI01692_2",CHNO=4,CHTYPE=TCH Full Rate;</v>
      </c>
      <c r="B20" s="32"/>
      <c r="C20" s="32"/>
      <c r="D20" s="32"/>
      <c r="E20" s="32"/>
      <c r="F20" s="32"/>
      <c r="G20" s="32"/>
      <c r="H20" s="32"/>
      <c r="I20" s="32"/>
      <c r="J20" s="32"/>
      <c r="K20" s="33"/>
    </row>
    <row r="21" spans="1:11" s="4" customFormat="1" x14ac:dyDescent="0.25">
      <c r="A21" s="31" t="str">
        <f>"SET GTRXCHAN:IDTYPE=BYNAME,TRXNAME="""&amp;A4&amp;""",CHNO=5,CHTYPE="&amp;G10&amp;";"</f>
        <v>SET GTRXCHAN:IDTYPE=BYNAME,TRXNAME="LI01692_2",CHNO=5,CHTYPE=TCH Full Rate;</v>
      </c>
      <c r="B21" s="32"/>
      <c r="C21" s="32"/>
      <c r="D21" s="32"/>
      <c r="E21" s="32"/>
      <c r="F21" s="32"/>
      <c r="G21" s="32"/>
      <c r="H21" s="32"/>
      <c r="I21" s="32"/>
      <c r="J21" s="32"/>
      <c r="K21" s="33"/>
    </row>
    <row r="22" spans="1:11" s="4" customFormat="1" x14ac:dyDescent="0.25">
      <c r="A22" s="31" t="str">
        <f>"SET GTRXCHAN:IDTYPE=BYNAME,TRXNAME="""&amp;A4&amp;""",CHNO=6,CHTYPE="&amp;H10&amp;";"</f>
        <v>SET GTRXCHAN:IDTYPE=BYNAME,TRXNAME="LI01692_2",CHNO=6,CHTYPE=TCH Full Rate;</v>
      </c>
      <c r="B22" s="32"/>
      <c r="C22" s="32"/>
      <c r="D22" s="32"/>
      <c r="E22" s="32"/>
      <c r="F22" s="32"/>
      <c r="G22" s="32"/>
      <c r="H22" s="32"/>
      <c r="I22" s="32"/>
      <c r="J22" s="32"/>
      <c r="K22" s="33"/>
    </row>
    <row r="23" spans="1:11" s="4" customFormat="1" ht="15.75" thickBot="1" x14ac:dyDescent="0.3">
      <c r="A23" s="34" t="str">
        <f>"SET GTRXCHAN:IDTYPE=BYNAME,TRXNAME="""&amp;A4&amp;""",CHNO=7,CHTYPE="&amp;I10&amp;";"</f>
        <v>SET GTRXCHAN:IDTYPE=BYNAME,TRXNAME="LI01692_2",CHNO=7,CHTYPE=TCH Full Rate;</v>
      </c>
      <c r="B23" s="35"/>
      <c r="C23" s="35"/>
      <c r="D23" s="35"/>
      <c r="E23" s="35"/>
      <c r="F23" s="35"/>
      <c r="G23" s="35"/>
      <c r="H23" s="35"/>
      <c r="I23" s="35"/>
      <c r="J23" s="35"/>
      <c r="K23" s="33"/>
    </row>
    <row r="24" spans="1:11" s="3" customFormat="1" ht="16.5" thickTop="1" thickBot="1" x14ac:dyDescent="0.3">
      <c r="A24" s="39" t="str">
        <f>"ADD TRXBIND2PHYBRD: TRXIDTYPE=BYNAME, TRXNAME="""&amp;A4&amp;""", IDTYPE=BYNAME, BTSNAME="""&amp;LEFT(A2,6)&amp;""", TRXTP=MRRU, TRXPN="&amp;RIGHT(A4,1)-1&amp;", RXUIDTYPE=SRNSN, CN=0, SRN="&amp;RIGHT(A2)+59&amp;", SN=0, ANTPASSNO=A;"</f>
        <v>ADD TRXBIND2PHYBRD: TRXIDTYPE=BYNAME, TRXNAME="LI01692_2", IDTYPE=BYNAME, BTSNAME="LI0169", TRXTP=MRRU, TRXPN=1, RXUIDTYPE=SRNSN, CN=0, SRN=61, SN=0, ANTPASSNO=A;</v>
      </c>
      <c r="B24" s="37"/>
      <c r="C24" s="37"/>
      <c r="D24" s="37"/>
      <c r="E24" s="37"/>
      <c r="F24" s="37"/>
      <c r="G24" s="37"/>
      <c r="H24" s="37"/>
      <c r="I24" s="37"/>
      <c r="J24" s="38"/>
      <c r="K24" s="50"/>
    </row>
    <row r="25" spans="1:11" s="1" customFormat="1" ht="16.5" thickTop="1" thickBot="1" x14ac:dyDescent="0.3">
      <c r="A25" s="40" t="str">
        <f>"DEA GCELL:IDTYPE=BYNAME,CELLNAME="""&amp;A2&amp;""";"</f>
        <v>DEA GCELL:IDTYPE=BYNAME,CELLNAME="LI01692";</v>
      </c>
      <c r="K25" s="47"/>
    </row>
    <row r="26" spans="1:11" s="2" customFormat="1" ht="15.75" thickTop="1" x14ac:dyDescent="0.25">
      <c r="A26" s="41" t="str">
        <f>IF(F7="","MOD GCELLMAGRP:IDTYPE=BYNAME,CELLNAME="""&amp;A2&amp;""",HOPINDEX=0,HSN="&amp;B7&amp;",TSC="&amp;C7&amp;",HOPMODE=BaseBand_FH,FREQ1="&amp;E7&amp;";",IF(G7="","MOD GCELLMAGRP:IDTYPE=BYNAME,CELLNAME="""&amp;A2&amp;""",HOPINDEX=0,HSN="&amp;B7&amp;",TSC="&amp;C7&amp;",HOPMODE=BaseBand_FH,FREQ1="&amp;E7&amp;",FREQ2="&amp;F7&amp;";",IF(H7="","MOD GCELLMAGRP:IDTYPE=BYNAME,CELLNAME="""&amp;A2&amp;""",HOPINDEX=0,HSN="&amp;B7&amp;",TSC="&amp;C7&amp;",HOPMODE=BaseBand_FH,FREQ1="&amp;E7&amp;",FREQ2="&amp;F7&amp;",FREQ3="&amp;G7&amp;";",IF(I7="","MOD GCELLMAGRP:IDTYPE=BYNAME,CELLNAME="""&amp;A2&amp;""",HOPINDEX=0,HSN="&amp;B7&amp;",TSC="&amp;C7&amp;",HOPMODE=BaseBand_FH,FREQ1="&amp;E7&amp;",FREQ2="&amp;F7&amp;",FREQ3="&amp;G7&amp;",FREQ4="&amp;H7&amp;";",IF(J7="","MOD GCELLMAGRP:IDTYPE=BYNAME,CELLNAME="""&amp;A2&amp;""",HOPINDEX=0,HSN="&amp;B7&amp;",TSC="&amp;C7&amp;",HOPMODE=BaseBand_FH,FREQ1="&amp;E7&amp;",FREQ2="&amp;F7&amp;",FREQ3="&amp;G7&amp;",FREQ4="&amp;H7&amp;",FREQ5="&amp;I7&amp;";",IF(K7="","MOD GCELLMAGRP:IDTYPE=BYNAME,CELLNAME="""&amp;A2&amp;""",HOPINDEX=0,HSN="&amp;B7&amp;",TSC="&amp;C7&amp;",HOPMODE=BaseBand_FH,FREQ1="&amp;E7&amp;",FREQ2="&amp;F7&amp;",FREQ3="&amp;G7&amp;",FREQ4="&amp;H7&amp;",FREQ5="&amp;I7&amp;",FREQ6="&amp;J7&amp;";",IF(L7="","MOD GCELLMAGRP:IDTYPE=BYNAME,CELLNAME="""&amp;A2&amp;""",HOPINDEX=0,HSN="&amp;B7&amp;",TSC="&amp;C7&amp;",HOPMODE=BaseBand_FH,FREQ1="&amp;E7&amp;",FREQ2="&amp;F7&amp;",FREQ3="&amp;G7&amp;",FREQ4="&amp;H7&amp;",FREQ5="&amp;I7&amp;",FREQ6="&amp;J7&amp;",FREQ7="&amp;K7&amp;";","")))))))</f>
        <v>MOD GCELLMAGRP:IDTYPE=BYNAME,CELLNAME="LI01692",HOPINDEX=0,HSN=61,TSC=0,HOPMODE=BaseBand_FH,FREQ1=68,FREQ2=82;</v>
      </c>
      <c r="B26" s="42"/>
      <c r="C26" s="42"/>
      <c r="D26" s="42"/>
      <c r="E26" s="42"/>
      <c r="F26" s="42"/>
      <c r="G26" s="42"/>
      <c r="H26" s="42"/>
      <c r="I26" s="42"/>
      <c r="J26" s="42"/>
      <c r="K26" s="43"/>
    </row>
    <row r="27" spans="1:11" s="2" customFormat="1" ht="15.75" thickBot="1" x14ac:dyDescent="0.3">
      <c r="A27" s="44" t="str">
        <f>IF(F7="","MOD GCELLMAGRP:IDTYPE=BYNAME,CELLNAME="""&amp;A2&amp;""",HOPINDEX=1,HSN="&amp;B7&amp;",TSC="&amp;C7&amp;",HOPMODE=BaseBand_FH,FREQ1="&amp;D7&amp;",FREQ2="&amp;E7&amp;";",IF(G7="","MOD GCELLMAGRP:IDTYPE=BYNAME,CELLNAME="""&amp;A2&amp;""",HOPINDEX=1,HSN="&amp;B7&amp;",TSC="&amp;C7&amp;",HOPMODE=BaseBand_FH,FREQ1="&amp;D7&amp;",FREQ2="&amp;E7&amp;",FREQ3="&amp;F7&amp;";",IF(H7="","MOD GCELLMAGRP:IDTYPE=BYNAME,CELLNAME="""&amp;A2&amp;""",HOPINDEX=1,HSN="&amp;B7&amp;",TSC="&amp;C7&amp;",HOPMODE=BaseBand_FH,FREQ1="&amp;D7&amp;",FREQ2="&amp;E7&amp;",FREQ3="&amp;F7&amp;",FREQ4="&amp;G7&amp;";",IF(I7="","MOD GCELLMAGRP:IDTYPE=BYNAME,CELLNAME="""&amp;A2&amp;""",HOPINDEX=1,HSN="&amp;B7&amp;",TSC="&amp;C7&amp;",HOPMODE=BaseBand_FH,FREQ1="&amp;D7&amp;",FREQ2="&amp;E7&amp;",FREQ3="&amp;F7&amp;",FREQ4="&amp;G7&amp;",FREQ5="&amp;H7&amp;";",IF(J7="","MOD GCELLMAGRP:IDTYPE=BYNAME,CELLNAME="""&amp;A2&amp;""",HOPINDEX=1,HSN="&amp;B7&amp;",TSC="&amp;C7&amp;",HOPMODE=BaseBand_FH,FREQ1="&amp;D7&amp;",FREQ2="&amp;E7&amp;",FREQ3="&amp;F7&amp;",FREQ4="&amp;G7&amp;",FREQ5="&amp;H7&amp;",FREQ6="&amp;I7&amp;";",IF(K7="","MOD GCELLMAGRP:IDTYPE=BYNAME,CELLNAME="""&amp;A2&amp;""",HOPINDEX=1,HSN="&amp;B7&amp;",TSC="&amp;C7&amp;",HOPMODE=BaseBand_FH,FREQ1="&amp;D7&amp;",FREQ2="&amp;E7&amp;",FREQ3="&amp;F7&amp;",FREQ4="&amp;G7&amp;",FREQ5="&amp;H7&amp;",FREQ6="&amp;I7&amp;",FREQ7="&amp;J7&amp;";",IF(L7="","MOD GCELLMAGRP:IDTYPE=BYNAME,CELLNAME="""&amp;A2&amp;""",HOPINDEX=1,HSN="&amp;B7&amp;",TSC="&amp;C7&amp;",HOPMODE=BaseBand_FH,FREQ1="&amp;D7&amp;",FREQ2="&amp;E7&amp;",FREQ3="&amp;F7&amp;",FREQ4="&amp;G7&amp;",FREQ5="&amp;H7&amp;",FREQ6="&amp;I7&amp;",FREQ7="&amp;J7&amp;",FREQ8="&amp;K7&amp;";","")))))))</f>
        <v>MOD GCELLMAGRP:IDTYPE=BYNAME,CELLNAME="LI01692",HOPINDEX=1,HSN=61,TSC=0,HOPMODE=BaseBand_FH,FREQ1=74,FREQ2=68,FREQ3=82;</v>
      </c>
      <c r="B27" s="45"/>
      <c r="C27" s="45"/>
      <c r="D27" s="45"/>
      <c r="E27" s="45"/>
      <c r="F27" s="45"/>
      <c r="G27" s="45"/>
      <c r="H27" s="45"/>
      <c r="I27" s="45"/>
      <c r="J27" s="45"/>
      <c r="K27" s="46"/>
    </row>
    <row r="28" spans="1:11" s="4" customFormat="1" ht="15.75" thickTop="1" x14ac:dyDescent="0.25">
      <c r="A28" s="28" t="str">
        <f>IF(RIGHT(A4,1)="1","SET GTRXCHANHOP:IDTYPE=BYNAME,TRXNAME="""&amp;A4&amp;""",CHNO=0,TRXHOPINDEX=0,TRXMAIO=0;",IF(RIGHT(A4,1)="2","SET GTRXCHANHOP:IDTYPE=BYNAME,TRXNAME="""&amp;A4&amp;""",CHNO=0,TRXHOPINDEX=0,TRXMAIO=0;",IF(RIGHT(A4,1)="3","SET GTRXCHANHOP:IDTYPE=BYNAME,TRXNAME="""&amp;A4&amp;""",CHNO=0,TRXHOPINDEX=0,TRXMAIO=1;",IF(RIGHT(A4,1)="4","SET GTRXCHANHOP:IDTYPE=BYNAME,TRXNAME="""&amp;A4&amp;""",CHNO=0,TRXHOPINDEX=0,TRXMAIO=2;",IF(RIGHT(A4,1)="5","SET GTRXCHANHOP:IDTYPE=BYNAME,TRXNAME="""&amp;A4&amp;""",CHNO=0,TRXHOPINDEX=0,TRXMAIO=3;",IF(RIGHT(A4,1)="6","SET GTRXCHANHOP:IDTYPE=BYNAME,TRXNAME="""&amp;A4&amp;""",CHNO=0,TRXHOPINDEX=0,TRXMAIO=4;",IF(RIGHT(A4,1)="7","SET GTRXCHANHOP:IDTYPE=BYNAME,TRXNAME="""&amp;A4&amp;""",CHNO=0,TRXHOPINDEX=0,TRXMAIO=5;",IF(RIGHT(A4,1)="8","SET GTRXCHANHOP:IDTYPE=BYNAME,TRXNAME="""&amp;A4&amp;""",CHNO=0,TRXHOPINDEX=0,TRXMAIO=6;",""))))))))</f>
        <v>SET GTRXCHANHOP:IDTYPE=BYNAME,TRXNAME="LI01692_2",CHNO=0,TRXHOPINDEX=0,TRXMAIO=0;</v>
      </c>
      <c r="B28" s="29"/>
      <c r="C28" s="29"/>
      <c r="D28" s="29"/>
      <c r="E28" s="29"/>
      <c r="F28" s="29"/>
      <c r="G28" s="29"/>
      <c r="H28" s="29"/>
      <c r="I28" s="29"/>
      <c r="J28" s="29"/>
      <c r="K28" s="30"/>
    </row>
    <row r="29" spans="1:11" s="4" customFormat="1" x14ac:dyDescent="0.25">
      <c r="A29" s="31" t="str">
        <f>IF(RIGHT(A4,1)="1","SET GTRXCHANHOP:IDTYPE=BYNAME,TRXNAME="""&amp;A4&amp;""",CHNO=1,TRXHOPINDEX=1,TRXMAIO=0;",IF(RIGHT(A4,1)="2","SET GTRXCHANHOP:IDTYPE=BYNAME,TRXNAME="""&amp;A4&amp;""",CHNO=1,TRXHOPINDEX=1,TRXMAIO=1;",IF(RIGHT(A4,1)="3","SET GTRXCHANHOP:IDTYPE=BYNAME,TRXNAME="""&amp;A4&amp;""",CHNO=1,TRXHOPINDEX=1,TRXMAIO=2;",IF(RIGHT(A4,1)="4","SET GTRXCHANHOP:IDTYPE=BYNAME,TRXNAME="""&amp;A4&amp;""",CHNO=1,TRXHOPINDEX=1,TRXMAIO=3;",IF(RIGHT(A4,1)="5","SET GTRXCHANHOP:IDTYPE=BYNAME,TRXNAME="""&amp;A4&amp;""",CHNO=1,TRXHOPINDEX=1,TRXMAIO=4;",IF(RIGHT(A4,1)="6","SET GTRXCHANHOP:IDTYPE=BYNAME,TRXNAME="""&amp;A4&amp;""",CHNO=1,TRXHOPINDEX=1,TRXMAIO=5;",IF(RIGHT(A4,1)="7","SET GTRXCHANHOP:IDTYPE=BYNAME,TRXNAME="""&amp;A4&amp;""",CHNO=1,TRXHOPINDEX=1,TRXMAIO=6;",IF(RIGHT(A4,1)="8","SET GTRXCHANHOP:IDTYPE=BYNAME,TRXNAME="""&amp;A4&amp;""",CHNO=1,TRXHOPINDEX=1,TRXMAIO=7;",""))))))))</f>
        <v>SET GTRXCHANHOP:IDTYPE=BYNAME,TRXNAME="LI01692_2",CHNO=1,TRXHOPINDEX=1,TRXMAIO=1;</v>
      </c>
      <c r="B29" s="32"/>
      <c r="C29" s="32"/>
      <c r="D29" s="32"/>
      <c r="E29" s="32"/>
      <c r="F29" s="32"/>
      <c r="G29" s="32"/>
      <c r="H29" s="32"/>
      <c r="I29" s="32"/>
      <c r="J29" s="32"/>
      <c r="K29" s="33"/>
    </row>
    <row r="30" spans="1:11" s="4" customFormat="1" x14ac:dyDescent="0.25">
      <c r="A30" s="31" t="str">
        <f>IF(RIGHT(A4,1)="1","SET GTRXCHANHOP:IDTYPE=BYNAME,TRXNAME="""&amp;A4&amp;""",CHNO=2,TRXHOPINDEX=1,TRXMAIO=0;",IF(RIGHT(A4,1)="2","SET GTRXCHANHOP:IDTYPE=BYNAME,TRXNAME="""&amp;A4&amp;""",CHNO=2,TRXHOPINDEX=1,TRXMAIO=1;",IF(RIGHT(A4,1)="3","SET GTRXCHANHOP:IDTYPE=BYNAME,TRXNAME="""&amp;A4&amp;""",CHNO=2,TRXHOPINDEX=1,TRXMAIO=2;",IF(RIGHT(A4,1)="4","SET GTRXCHANHOP:IDTYPE=BYNAME,TRXNAME="""&amp;A4&amp;""",CHNO=2,TRXHOPINDEX=1,TRXMAIO=3;",IF(RIGHT(A4,1)="5","SET GTRXCHANHOP:IDTYPE=BYNAME,TRXNAME="""&amp;A4&amp;""",CHNO=2,TRXHOPINDEX=1,TRXMAIO=4;",IF(RIGHT(A4,1)="6","SET GTRXCHANHOP:IDTYPE=BYNAME,TRXNAME="""&amp;A4&amp;""",CHNO=2,TRXHOPINDEX=1,TRXMAIO=5;",IF(RIGHT(A4,1)="7","SET GTRXCHANHOP:IDTYPE=BYNAME,TRXNAME="""&amp;A4&amp;""",CHNO=2,TRXHOPINDEX=1,TRXMAIO=6;",IF(RIGHT(A4,1)="8","SET GTRXCHANHOP:IDTYPE=BYNAME,TRXNAME="""&amp;A4&amp;""",CHNO=2,TRXHOPINDEX=1,TRXMAIO=7;",""))))))))</f>
        <v>SET GTRXCHANHOP:IDTYPE=BYNAME,TRXNAME="LI01692_2",CHNO=2,TRXHOPINDEX=1,TRXMAIO=1;</v>
      </c>
      <c r="B30" s="32"/>
      <c r="C30" s="32"/>
      <c r="D30" s="32"/>
      <c r="E30" s="32"/>
      <c r="F30" s="32"/>
      <c r="G30" s="32"/>
      <c r="H30" s="32"/>
      <c r="I30" s="32"/>
      <c r="J30" s="32"/>
      <c r="K30" s="33"/>
    </row>
    <row r="31" spans="1:11" s="4" customFormat="1" x14ac:dyDescent="0.25">
      <c r="A31" s="31" t="str">
        <f>IF(RIGHT(A4,1)="1","SET GTRXCHANHOP:IDTYPE=BYNAME,TRXNAME="""&amp;A4&amp;""",CHNO=3,TRXHOPINDEX=1,TRXMAIO=0;",IF(RIGHT(A4,1)="2","SET GTRXCHANHOP:IDTYPE=BYNAME,TRXNAME="""&amp;A4&amp;""",CHNO=3,TRXHOPINDEX=1,TRXMAIO=1;",IF(RIGHT(A4,1)="3","SET GTRXCHANHOP:IDTYPE=BYNAME,TRXNAME="""&amp;A4&amp;""",CHNO=3,TRXHOPINDEX=1,TRXMAIO=2;",IF(RIGHT(A4,1)="4","SET GTRXCHANHOP:IDTYPE=BYNAME,TRXNAME="""&amp;A4&amp;""",CHNO=3,TRXHOPINDEX=1,TRXMAIO=3;",IF(RIGHT(A4,1)="5","SET GTRXCHANHOP:IDTYPE=BYNAME,TRXNAME="""&amp;A4&amp;""",CHNO=3,TRXHOPINDEX=1,TRXMAIO=4;",IF(RIGHT(A4,1)="6","SET GTRXCHANHOP:IDTYPE=BYNAME,TRXNAME="""&amp;A4&amp;""",CHNO=3,TRXHOPINDEX=1,TRXMAIO=5;",IF(RIGHT(A4,1)="7","SET GTRXCHANHOP:IDTYPE=BYNAME,TRXNAME="""&amp;A4&amp;""",CHNO=3,TRXHOPINDEX=1,TRXMAIO=6;",IF(RIGHT(A4,1)="8","SET GTRXCHANHOP:IDTYPE=BYNAME,TRXNAME="""&amp;A4&amp;""",CHNO=3,TRXHOPINDEX=1,TRXMAIO=7;",""))))))))</f>
        <v>SET GTRXCHANHOP:IDTYPE=BYNAME,TRXNAME="LI01692_2",CHNO=3,TRXHOPINDEX=1,TRXMAIO=1;</v>
      </c>
      <c r="B31" s="32"/>
      <c r="C31" s="32"/>
      <c r="D31" s="32"/>
      <c r="E31" s="32"/>
      <c r="F31" s="32"/>
      <c r="G31" s="32"/>
      <c r="H31" s="32"/>
      <c r="I31" s="32"/>
      <c r="J31" s="32"/>
      <c r="K31" s="33"/>
    </row>
    <row r="32" spans="1:11" s="4" customFormat="1" x14ac:dyDescent="0.25">
      <c r="A32" s="31" t="str">
        <f>IF(RIGHT(A4,1)="1","SET GTRXCHANHOP:IDTYPE=BYNAME,TRXNAME="""&amp;A4&amp;""",CHNO=4,TRXHOPINDEX=1,TRXMAIO=0;",IF(RIGHT(A4,1)="2","SET GTRXCHANHOP:IDTYPE=BYNAME,TRXNAME="""&amp;A4&amp;""",CHNO=4,TRXHOPINDEX=1,TRXMAIO=1;",IF(RIGHT(A4,1)="3","SET GTRXCHANHOP:IDTYPE=BYNAME,TRXNAME="""&amp;A4&amp;""",CHNO=4,TRXHOPINDEX=1,TRXMAIO=2;",IF(RIGHT(A4,1)="4","SET GTRXCHANHOP:IDTYPE=BYNAME,TRXNAME="""&amp;A4&amp;""",CHNO=4,TRXHOPINDEX=1,TRXMAIO=3;",IF(RIGHT(A4,1)="5","SET GTRXCHANHOP:IDTYPE=BYNAME,TRXNAME="""&amp;A4&amp;""",CHNO=4,TRXHOPINDEX=1,TRXMAIO=4;",IF(RIGHT(A4,1)="6","SET GTRXCHANHOP:IDTYPE=BYNAME,TRXNAME="""&amp;A4&amp;""",CHNO=4,TRXHOPINDEX=1,TRXMAIO=5;",IF(RIGHT(A4,1)="7","SET GTRXCHANHOP:IDTYPE=BYNAME,TRXNAME="""&amp;A4&amp;""",CHNO=4,TRXHOPINDEX=1,TRXMAIO=6;",IF(RIGHT(A4,1)="8","SET GTRXCHANHOP:IDTYPE=BYNAME,TRXNAME="""&amp;A4&amp;""",CHNO=4,TRXHOPINDEX=1,TRXMAIO=7;",""))))))))</f>
        <v>SET GTRXCHANHOP:IDTYPE=BYNAME,TRXNAME="LI01692_2",CHNO=4,TRXHOPINDEX=1,TRXMAIO=1;</v>
      </c>
      <c r="B32" s="32"/>
      <c r="C32" s="32"/>
      <c r="D32" s="32"/>
      <c r="E32" s="32"/>
      <c r="F32" s="32"/>
      <c r="G32" s="32"/>
      <c r="H32" s="32"/>
      <c r="I32" s="32"/>
      <c r="J32" s="32"/>
      <c r="K32" s="33"/>
    </row>
    <row r="33" spans="1:11" s="4" customFormat="1" x14ac:dyDescent="0.25">
      <c r="A33" s="31" t="str">
        <f>IF(RIGHT(A4,1)="1","SET GTRXCHANHOP:IDTYPE=BYNAME,TRXNAME="""&amp;A4&amp;""",CHNO=5,TRXHOPINDEX=1,TRXMAIO=0;",IF(RIGHT(A4,1)="2","SET GTRXCHANHOP:IDTYPE=BYNAME,TRXNAME="""&amp;A4&amp;""",CHNO=5,TRXHOPINDEX=1,TRXMAIO=1;",IF(RIGHT(A4,1)="3","SET GTRXCHANHOP:IDTYPE=BYNAME,TRXNAME="""&amp;A4&amp;""",CHNO=5,TRXHOPINDEX=1,TRXMAIO=2;",IF(RIGHT(A4,1)="4","SET GTRXCHANHOP:IDTYPE=BYNAME,TRXNAME="""&amp;A4&amp;""",CHNO=5,TRXHOPINDEX=1,TRXMAIO=3;",IF(RIGHT(A4,1)="5","SET GTRXCHANHOP:IDTYPE=BYNAME,TRXNAME="""&amp;A4&amp;""",CHNO=5,TRXHOPINDEX=1,TRXMAIO=4;",IF(RIGHT(A4,1)="6","SET GTRXCHANHOP:IDTYPE=BYNAME,TRXNAME="""&amp;A4&amp;""",CHNO=5,TRXHOPINDEX=1,TRXMAIO=5;",IF(RIGHT(A4,1)="7","SET GTRXCHANHOP:IDTYPE=BYNAME,TRXNAME="""&amp;A4&amp;""",CHNO=5,TRXHOPINDEX=1,TRXMAIO=6;",IF(RIGHT(A4,1)="8","SET GTRXCHANHOP:IDTYPE=BYNAME,TRXNAME="""&amp;A4&amp;""",CHNO=5,TRXHOPINDEX=1,TRXMAIO=7;",""))))))))</f>
        <v>SET GTRXCHANHOP:IDTYPE=BYNAME,TRXNAME="LI01692_2",CHNO=5,TRXHOPINDEX=1,TRXMAIO=1;</v>
      </c>
      <c r="B33" s="32"/>
      <c r="C33" s="32"/>
      <c r="D33" s="32"/>
      <c r="E33" s="32"/>
      <c r="F33" s="32"/>
      <c r="G33" s="32"/>
      <c r="H33" s="32"/>
      <c r="I33" s="32"/>
      <c r="J33" s="32"/>
      <c r="K33" s="33"/>
    </row>
    <row r="34" spans="1:11" s="4" customFormat="1" x14ac:dyDescent="0.25">
      <c r="A34" s="31" t="str">
        <f>IF(RIGHT(A4,1)="1","SET GTRXCHANHOP:IDTYPE=BYNAME,TRXNAME="""&amp;A4&amp;""",CHNO=6,TRXHOPINDEX=1,TRXMAIO=0;",IF(RIGHT(A4,1)="2","SET GTRXCHANHOP:IDTYPE=BYNAME,TRXNAME="""&amp;A4&amp;""",CHNO=6,TRXHOPINDEX=1,TRXMAIO=1;",IF(RIGHT(A4,1)="3","SET GTRXCHANHOP:IDTYPE=BYNAME,TRXNAME="""&amp;A4&amp;""",CHNO=6,TRXHOPINDEX=1,TRXMAIO=2;",IF(RIGHT(A4,1)="4","SET GTRXCHANHOP:IDTYPE=BYNAME,TRXNAME="""&amp;A4&amp;""",CHNO=6,TRXHOPINDEX=1,TRXMAIO=3;",IF(RIGHT(A4,1)="5","SET GTRXCHANHOP:IDTYPE=BYNAME,TRXNAME="""&amp;A4&amp;""",CHNO=6,TRXHOPINDEX=1,TRXMAIO=4;",IF(RIGHT(A4,1)="6","SET GTRXCHANHOP:IDTYPE=BYNAME,TRXNAME="""&amp;A4&amp;""",CHNO=6,TRXHOPINDEX=1,TRXMAIO=5;",IF(RIGHT(A4,1)="7","SET GTRXCHANHOP:IDTYPE=BYNAME,TRXNAME="""&amp;A4&amp;""",CHNO=6,TRXHOPINDEX=1,TRXMAIO=6;",IF(RIGHT(A4,1)="8","SET GTRXCHANHOP:IDTYPE=BYNAME,TRXNAME="""&amp;A4&amp;""",CHNO=6,TRXHOPINDEX=1,TRXMAIO=7;",""))))))))</f>
        <v>SET GTRXCHANHOP:IDTYPE=BYNAME,TRXNAME="LI01692_2",CHNO=6,TRXHOPINDEX=1,TRXMAIO=1;</v>
      </c>
      <c r="B34" s="32"/>
      <c r="C34" s="32"/>
      <c r="D34" s="32"/>
      <c r="E34" s="32"/>
      <c r="F34" s="32"/>
      <c r="G34" s="32"/>
      <c r="H34" s="32"/>
      <c r="I34" s="32"/>
      <c r="J34" s="32"/>
      <c r="K34" s="33"/>
    </row>
    <row r="35" spans="1:11" s="4" customFormat="1" x14ac:dyDescent="0.25">
      <c r="A35" s="31" t="str">
        <f>IF(RIGHT(A4,1)="1","SET GTRXCHANHOP:IDTYPE=BYNAME,TRXNAME="""&amp;A4&amp;""",CHNO=7,TRXHOPINDEX=1,TRXMAIO=0;",IF(RIGHT(A4,1)="2","SET GTRXCHANHOP:IDTYPE=BYNAME,TRXNAME="""&amp;A4&amp;""",CHNO=7,TRXHOPINDEX=1,TRXMAIO=1;",IF(RIGHT(A4,1)="3","SET GTRXCHANHOP:IDTYPE=BYNAME,TRXNAME="""&amp;A4&amp;""",CHNO=7,TRXHOPINDEX=1,TRXMAIO=2;",IF(RIGHT(A4,1)="4","SET GTRXCHANHOP:IDTYPE=BYNAME,TRXNAME="""&amp;A4&amp;""",CHNO=7,TRXHOPINDEX=1,TRXMAIO=3;",IF(RIGHT(A4,1)="5","SET GTRXCHANHOP:IDTYPE=BYNAME,TRXNAME="""&amp;A4&amp;""",CHNO=7,TRXHOPINDEX=1,TRXMAIO=4;",IF(RIGHT(A4,1)="6","SET GTRXCHANHOP:IDTYPE=BYNAME,TRXNAME="""&amp;A4&amp;""",CHNO=7,TRXHOPINDEX=1,TRXMAIO=5;",IF(RIGHT(A4,1)="7","SET GTRXCHANHOP:IDTYPE=BYNAME,TRXNAME="""&amp;A4&amp;""",CHNO=7,TRXHOPINDEX=1,TRXMAIO=6;",IF(RIGHT(A4,1)="8","SET GTRXCHANHOP:IDTYPE=BYNAME,TRXNAME="""&amp;A4&amp;""",CHNO=7,TRXHOPINDEX=1,TRXMAIO=7;",""))))))))</f>
        <v>SET GTRXCHANHOP:IDTYPE=BYNAME,TRXNAME="LI01692_2",CHNO=7,TRXHOPINDEX=1,TRXMAIO=1;</v>
      </c>
      <c r="B35" s="32"/>
      <c r="C35" s="32"/>
      <c r="D35" s="32"/>
      <c r="E35" s="32"/>
      <c r="F35" s="32"/>
      <c r="G35" s="32"/>
      <c r="H35" s="32"/>
      <c r="I35" s="32"/>
      <c r="J35" s="32"/>
      <c r="K35" s="33"/>
    </row>
    <row r="36" spans="1:11" s="4" customFormat="1" x14ac:dyDescent="0.25">
      <c r="A36" s="31" t="str">
        <f>"SET GTRXHOP:IDTYPE=BYNAME,TRXNAME="""&amp;A4&amp;""",HOPTYPE=BaseBand_FH;"</f>
        <v>SET GTRXHOP:IDTYPE=BYNAME,TRXNAME="LI01692_2",HOPTYPE=BaseBand_FH;</v>
      </c>
      <c r="B36" s="32"/>
      <c r="C36" s="32"/>
      <c r="D36" s="32"/>
      <c r="E36" s="32"/>
      <c r="F36" s="32"/>
      <c r="G36" s="32"/>
      <c r="H36" s="32"/>
      <c r="I36" s="32"/>
      <c r="J36" s="32"/>
      <c r="K36" s="33"/>
    </row>
    <row r="37" spans="1:11" s="4" customFormat="1" ht="15.75" thickBot="1" x14ac:dyDescent="0.3">
      <c r="A37" s="34" t="str">
        <f>"SET GTRXDEV:IDTYPE=BYNAME,TRXNAME="""&amp;A4&amp;""",TCHAJFLAG=YES;"</f>
        <v>SET GTRXDEV:IDTYPE=BYNAME,TRXNAME="LI01692_2",TCHAJFLAG=YES;</v>
      </c>
      <c r="B37" s="35"/>
      <c r="C37" s="35"/>
      <c r="D37" s="35"/>
      <c r="E37" s="35"/>
      <c r="F37" s="35"/>
      <c r="G37" s="35"/>
      <c r="H37" s="35"/>
      <c r="I37" s="35"/>
      <c r="J37" s="35"/>
      <c r="K37" s="36"/>
    </row>
    <row r="38" spans="1:11" s="1" customFormat="1" ht="16.5" thickTop="1" thickBot="1" x14ac:dyDescent="0.3">
      <c r="A38" s="48" t="str">
        <f>"ACT GCELL:IDTYPE=BYNAME,CELLNAME="""&amp;A2&amp;""",TRXIDTYPE=BYID;"</f>
        <v>ACT GCELL:IDTYPE=BYNAME,CELLNAME="LI01692",TRXIDTYPE=BYID;</v>
      </c>
      <c r="B38" s="49"/>
      <c r="C38" s="49"/>
      <c r="D38" s="49"/>
      <c r="E38" s="49"/>
      <c r="F38" s="49"/>
      <c r="G38" s="49"/>
      <c r="H38" s="49"/>
      <c r="I38" s="49"/>
      <c r="J38" s="49"/>
      <c r="K38" s="47"/>
    </row>
    <row r="39" spans="1:11" s="14" customFormat="1" ht="15.75" thickTop="1" x14ac:dyDescent="0.25">
      <c r="A39" s="13"/>
    </row>
    <row r="40" spans="1:11" x14ac:dyDescent="0.25">
      <c r="A40" s="17" t="s">
        <v>26</v>
      </c>
    </row>
  </sheetData>
  <mergeCells count="2">
    <mergeCell ref="C1:F2"/>
    <mergeCell ref="G1:M2"/>
  </mergeCells>
  <dataValidations disablePrompts="1" count="1">
    <dataValidation allowBlank="1" showInputMessage="1" showErrorMessage="1" sqref="C9 B9:B10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U14"/>
  <sheetViews>
    <sheetView workbookViewId="0">
      <selection activeCell="B2" sqref="B2"/>
    </sheetView>
  </sheetViews>
  <sheetFormatPr baseColWidth="10" defaultRowHeight="14.25" x14ac:dyDescent="0.2"/>
  <cols>
    <col min="1" max="1" width="11.85546875" style="8" bestFit="1" customWidth="1"/>
    <col min="2" max="2" width="12.140625" style="8" bestFit="1" customWidth="1"/>
    <col min="3" max="3" width="12.85546875" style="8" bestFit="1" customWidth="1"/>
    <col min="4" max="4" width="4.85546875" style="8" bestFit="1" customWidth="1"/>
    <col min="5" max="5" width="4.42578125" style="8" bestFit="1" customWidth="1"/>
    <col min="6" max="13" width="12.140625" style="8" bestFit="1" customWidth="1"/>
    <col min="14" max="21" width="15.42578125" style="8" bestFit="1" customWidth="1"/>
    <col min="22" max="16384" width="11.42578125" style="8"/>
  </cols>
  <sheetData>
    <row r="1" spans="1:21" ht="15.75" customHeight="1" x14ac:dyDescent="0.2">
      <c r="A1" s="5" t="s">
        <v>0</v>
      </c>
      <c r="B1" s="5" t="s">
        <v>1</v>
      </c>
      <c r="C1" s="5" t="s">
        <v>25</v>
      </c>
      <c r="D1" s="6" t="s">
        <v>4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9</v>
      </c>
      <c r="J1" s="6" t="s">
        <v>10</v>
      </c>
      <c r="K1" s="6" t="s">
        <v>11</v>
      </c>
      <c r="L1" s="6" t="s">
        <v>12</v>
      </c>
      <c r="M1" s="6" t="s">
        <v>13</v>
      </c>
      <c r="N1" s="7" t="s">
        <v>15</v>
      </c>
      <c r="O1" s="7" t="s">
        <v>16</v>
      </c>
      <c r="P1" s="7" t="s">
        <v>17</v>
      </c>
      <c r="Q1" s="7" t="s">
        <v>18</v>
      </c>
      <c r="R1" s="7" t="s">
        <v>19</v>
      </c>
      <c r="S1" s="7" t="s">
        <v>20</v>
      </c>
      <c r="T1" s="7" t="s">
        <v>21</v>
      </c>
      <c r="U1" s="7" t="s">
        <v>22</v>
      </c>
    </row>
    <row r="2" spans="1:21" x14ac:dyDescent="0.2">
      <c r="A2" s="75" t="s">
        <v>29</v>
      </c>
      <c r="B2" s="75" t="s">
        <v>30</v>
      </c>
      <c r="C2" s="9">
        <v>82</v>
      </c>
      <c r="D2" s="72">
        <v>61</v>
      </c>
      <c r="E2" s="72">
        <v>0</v>
      </c>
      <c r="F2" s="10">
        <v>74</v>
      </c>
      <c r="G2" s="10">
        <v>68</v>
      </c>
      <c r="H2" s="10">
        <v>82</v>
      </c>
      <c r="I2" s="10"/>
      <c r="J2" s="10"/>
      <c r="K2" s="10"/>
      <c r="L2" s="10"/>
      <c r="M2" s="10"/>
      <c r="N2" s="11" t="s">
        <v>23</v>
      </c>
      <c r="O2" s="11" t="s">
        <v>24</v>
      </c>
      <c r="P2" s="11" t="s">
        <v>24</v>
      </c>
      <c r="Q2" s="11" t="s">
        <v>24</v>
      </c>
      <c r="R2" s="11" t="s">
        <v>24</v>
      </c>
      <c r="S2" s="11" t="s">
        <v>24</v>
      </c>
      <c r="T2" s="11" t="s">
        <v>24</v>
      </c>
      <c r="U2" s="11" t="s">
        <v>24</v>
      </c>
    </row>
    <row r="3" spans="1:21" x14ac:dyDescent="0.2">
      <c r="A3" s="9"/>
      <c r="B3" s="9"/>
      <c r="C3" s="9"/>
      <c r="D3" s="72"/>
      <c r="E3" s="72"/>
      <c r="F3" s="12"/>
      <c r="G3" s="12"/>
      <c r="H3" s="12"/>
      <c r="I3" s="12"/>
      <c r="J3" s="12"/>
      <c r="K3" s="12"/>
      <c r="L3" s="12"/>
      <c r="M3" s="12"/>
      <c r="N3" s="11"/>
      <c r="O3" s="11"/>
      <c r="P3" s="11"/>
      <c r="Q3" s="11"/>
      <c r="R3" s="11"/>
      <c r="S3" s="11"/>
      <c r="T3" s="11"/>
      <c r="U3" s="11"/>
    </row>
    <row r="4" spans="1:21" x14ac:dyDescent="0.2">
      <c r="A4" s="9"/>
      <c r="B4" s="9"/>
      <c r="C4" s="9"/>
      <c r="D4" s="72"/>
      <c r="E4" s="72"/>
      <c r="F4" s="12"/>
      <c r="G4" s="12"/>
      <c r="H4" s="12"/>
      <c r="I4" s="12"/>
      <c r="J4" s="12"/>
      <c r="K4" s="12"/>
      <c r="L4" s="9"/>
      <c r="M4" s="9"/>
      <c r="N4" s="11"/>
      <c r="O4" s="11"/>
      <c r="P4" s="11"/>
      <c r="Q4" s="11"/>
      <c r="R4" s="11"/>
      <c r="S4" s="11"/>
      <c r="T4" s="11"/>
      <c r="U4" s="11"/>
    </row>
    <row r="5" spans="1:21" x14ac:dyDescent="0.2">
      <c r="A5" s="9"/>
      <c r="B5" s="9"/>
      <c r="C5" s="9"/>
      <c r="D5" s="72"/>
      <c r="E5" s="72"/>
      <c r="F5" s="9"/>
      <c r="G5" s="9"/>
      <c r="H5" s="9"/>
      <c r="I5" s="9"/>
      <c r="J5" s="9"/>
      <c r="K5" s="9"/>
      <c r="L5" s="9"/>
      <c r="M5" s="9"/>
      <c r="N5" s="11"/>
      <c r="O5" s="11"/>
      <c r="P5" s="11"/>
      <c r="Q5" s="11"/>
      <c r="R5" s="11"/>
      <c r="S5" s="11"/>
      <c r="T5" s="11"/>
      <c r="U5" s="11"/>
    </row>
    <row r="6" spans="1:2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11"/>
      <c r="O6" s="11"/>
      <c r="P6" s="11"/>
      <c r="Q6" s="11"/>
      <c r="R6" s="11"/>
      <c r="S6" s="11"/>
      <c r="T6" s="11"/>
      <c r="U6" s="11"/>
    </row>
    <row r="7" spans="1:21" x14ac:dyDescent="0.2">
      <c r="A7" s="9"/>
      <c r="B7" s="9"/>
      <c r="C7" s="9"/>
      <c r="D7" s="9"/>
      <c r="E7" s="9"/>
      <c r="F7" s="12"/>
      <c r="G7" s="12"/>
      <c r="H7" s="12"/>
      <c r="I7" s="12"/>
      <c r="J7" s="9"/>
      <c r="K7" s="9"/>
      <c r="L7" s="9"/>
      <c r="M7" s="9"/>
      <c r="N7" s="11"/>
      <c r="O7" s="11"/>
      <c r="P7" s="11"/>
      <c r="Q7" s="11"/>
      <c r="R7" s="11"/>
      <c r="S7" s="11"/>
      <c r="T7" s="11"/>
      <c r="U7" s="11"/>
    </row>
    <row r="8" spans="1:2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11"/>
      <c r="O8" s="11"/>
      <c r="P8" s="11"/>
      <c r="Q8" s="11"/>
      <c r="R8" s="11"/>
      <c r="S8" s="11"/>
      <c r="T8" s="11"/>
      <c r="U8" s="11"/>
    </row>
    <row r="9" spans="1:21" x14ac:dyDescent="0.2">
      <c r="A9" s="9"/>
      <c r="B9" s="9"/>
      <c r="C9" s="9"/>
      <c r="D9" s="9"/>
      <c r="E9" s="9"/>
      <c r="F9" s="12"/>
      <c r="G9" s="12"/>
      <c r="H9" s="12"/>
      <c r="I9" s="12"/>
      <c r="J9" s="9"/>
      <c r="K9" s="9"/>
      <c r="L9" s="9"/>
      <c r="M9" s="9"/>
      <c r="N9" s="11"/>
      <c r="O9" s="11"/>
      <c r="P9" s="11"/>
      <c r="Q9" s="11"/>
      <c r="R9" s="11"/>
      <c r="S9" s="11"/>
      <c r="T9" s="11"/>
      <c r="U9" s="11"/>
    </row>
    <row r="10" spans="1:2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11"/>
      <c r="O10" s="11"/>
      <c r="P10" s="11"/>
      <c r="Q10" s="11"/>
      <c r="R10" s="11"/>
      <c r="S10" s="11"/>
      <c r="T10" s="11"/>
      <c r="U10" s="11"/>
    </row>
    <row r="11" spans="1:21" x14ac:dyDescent="0.2">
      <c r="A11" s="9"/>
      <c r="B11" s="9"/>
      <c r="C11" s="9"/>
      <c r="D11" s="9"/>
      <c r="E11" s="9"/>
      <c r="F11" s="12"/>
      <c r="G11" s="12"/>
      <c r="H11" s="12"/>
      <c r="I11" s="12"/>
      <c r="J11" s="9"/>
      <c r="K11" s="9"/>
      <c r="L11" s="9"/>
      <c r="M11" s="9"/>
      <c r="N11" s="11"/>
      <c r="O11" s="11"/>
      <c r="P11" s="11"/>
      <c r="Q11" s="11"/>
      <c r="R11" s="11"/>
      <c r="S11" s="11"/>
      <c r="T11" s="11"/>
      <c r="U11" s="11"/>
    </row>
    <row r="12" spans="1:21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</row>
    <row r="13" spans="1:21" x14ac:dyDescent="0.2">
      <c r="A13" s="9"/>
      <c r="B13" s="9"/>
      <c r="C13" s="9"/>
      <c r="D13" s="9"/>
      <c r="E13" s="9"/>
      <c r="F13" s="12"/>
      <c r="G13" s="12"/>
      <c r="H13" s="12"/>
      <c r="I13" s="12"/>
      <c r="J13" s="9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</row>
    <row r="14" spans="1:2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11"/>
      <c r="O14" s="11"/>
      <c r="P14" s="11"/>
      <c r="Q14" s="11"/>
      <c r="R14" s="11"/>
      <c r="S14" s="11"/>
      <c r="T14" s="11"/>
      <c r="U14" s="11"/>
    </row>
  </sheetData>
  <dataValidations count="1">
    <dataValidation allowBlank="1" showInputMessage="1" showErrorMessage="1" sqref="N1:O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3:A31"/>
  <sheetViews>
    <sheetView workbookViewId="0">
      <selection activeCell="A3" sqref="A3:A31"/>
    </sheetView>
  </sheetViews>
  <sheetFormatPr baseColWidth="10" defaultRowHeight="15" x14ac:dyDescent="0.25"/>
  <sheetData>
    <row r="3" spans="1:1" x14ac:dyDescent="0.25">
      <c r="A3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1" spans="1:1" x14ac:dyDescent="0.25">
      <c r="A3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Tool</vt:lpstr>
      <vt:lpstr>Data</vt:lpstr>
      <vt:lpstr>Script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2020-08-12T16:30:36Z</dcterms:modified>
</cp:coreProperties>
</file>